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3fb659c9d90b26/Desktop/"/>
    </mc:Choice>
  </mc:AlternateContent>
  <xr:revisionPtr revIDLastSave="0" documentId="8_{5A671A63-7EB4-47D1-842F-F60B42AC8130}" xr6:coauthVersionLast="47" xr6:coauthVersionMax="47" xr10:uidLastSave="{00000000-0000-0000-0000-000000000000}"/>
  <bookViews>
    <workbookView xWindow="-98" yWindow="-98" windowWidth="21795" windowHeight="13875" xr2:uid="{70187CCE-2A95-446B-943E-FE47511242E9}"/>
  </bookViews>
  <sheets>
    <sheet name="Tij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" l="1"/>
  <c r="D24" i="2"/>
  <c r="D25" i="2"/>
  <c r="D26" i="2"/>
  <c r="D27" i="2"/>
  <c r="C25" i="2"/>
  <c r="E25" i="2" s="1"/>
  <c r="C26" i="2"/>
  <c r="C27" i="2"/>
  <c r="E27" i="2" s="1"/>
  <c r="C28" i="2"/>
  <c r="E28" i="2" s="1"/>
  <c r="C24" i="2"/>
  <c r="E18" i="2"/>
  <c r="E17" i="2"/>
  <c r="E16" i="2"/>
  <c r="E15" i="2"/>
  <c r="E14" i="2"/>
  <c r="E5" i="2"/>
  <c r="E6" i="2"/>
  <c r="E7" i="2"/>
  <c r="E8" i="2"/>
  <c r="E4" i="2"/>
  <c r="E24" i="2" l="1"/>
  <c r="E26" i="2"/>
</calcChain>
</file>

<file path=xl/sharedStrings.xml><?xml version="1.0" encoding="utf-8"?>
<sst xmlns="http://schemas.openxmlformats.org/spreadsheetml/2006/main" count="33" uniqueCount="15">
  <si>
    <t>Mwaka</t>
  </si>
  <si>
    <t>Tija (tani/ha)</t>
  </si>
  <si>
    <t>2020/21</t>
  </si>
  <si>
    <t>2021/22</t>
  </si>
  <si>
    <t>2022/23</t>
  </si>
  <si>
    <t>2023/24</t>
  </si>
  <si>
    <t>2024/25</t>
  </si>
  <si>
    <t>Eneo lililolimwa (ha)</t>
  </si>
  <si>
    <t>Uzalishaji (tani)</t>
  </si>
  <si>
    <t>Jedwali Na. 1: Mwenendo wa Eneo lililopanda, Uzalishaji na Tija kwa Zao la Mpunga kwa Mlimba DC kuanzia mwaka 2020/21 hadi 2024/25</t>
  </si>
  <si>
    <t>Jedwali Na. 2: Mwenendo wa Eneo lililopanda, Uzalishaji na Tija kwa Zao la Mpunga kwa Ifakara TC kuanzia mwaka 2020/21 hadi 2024/25</t>
  </si>
  <si>
    <t>Jedwali Na. 3: Mwenendo wa Eneo lililopanda, Uzalishaji na Tija kwa Zao la Mpunga kwa Wilaya ya Kilombero kuanzia mwaka 2020/21 hadi 2024/25</t>
  </si>
  <si>
    <r>
      <rPr>
        <b/>
        <i/>
        <sz val="11"/>
        <color theme="1"/>
        <rFont val="Calibri"/>
        <family val="2"/>
        <scheme val="minor"/>
      </rPr>
      <t>Chanzo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Ifakara TC 2020-2025</t>
    </r>
  </si>
  <si>
    <r>
      <rPr>
        <b/>
        <i/>
        <sz val="11"/>
        <color theme="1"/>
        <rFont val="Calibri"/>
        <family val="2"/>
        <scheme val="minor"/>
      </rPr>
      <t>Chanzo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Mlimba DC 2020-2025</t>
    </r>
  </si>
  <si>
    <r>
      <rPr>
        <b/>
        <i/>
        <sz val="11"/>
        <color theme="1"/>
        <rFont val="Calibri"/>
        <family val="2"/>
        <scheme val="minor"/>
      </rPr>
      <t>Chanzo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Mlimba DC &amp; Ifakara TC, 2020-2025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</si>
</sst>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 wrapText="1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166" fontId="0" fillId="2" borderId="1" xfId="1" quotePrefix="1" applyNumberFormat="1" applyFont="1" applyFill="1" applyBorder="1" applyAlignment="1">
      <alignment horizontal="right"/>
    </xf>
    <xf numFmtId="166" fontId="0" fillId="2" borderId="1" xfId="1" quotePrefix="1" applyNumberFormat="1" applyFon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9EF9-67CF-4E9D-BA9C-3E79A337D716}">
  <dimension ref="B2:E29"/>
  <sheetViews>
    <sheetView tabSelected="1" workbookViewId="0">
      <selection activeCell="G13" sqref="G13"/>
    </sheetView>
  </sheetViews>
  <sheetFormatPr defaultRowHeight="14.25" x14ac:dyDescent="0.45"/>
  <cols>
    <col min="1" max="1" width="4.9296875" style="2" customWidth="1"/>
    <col min="2" max="2" width="11.796875" style="2" customWidth="1"/>
    <col min="3" max="3" width="19.265625" style="2" customWidth="1"/>
    <col min="4" max="4" width="17.265625" style="2" customWidth="1"/>
    <col min="5" max="5" width="14.9296875" style="2" customWidth="1"/>
    <col min="6" max="16384" width="9.06640625" style="2"/>
  </cols>
  <sheetData>
    <row r="2" spans="2:5" ht="26.55" customHeight="1" x14ac:dyDescent="0.45">
      <c r="B2" s="1" t="s">
        <v>9</v>
      </c>
      <c r="C2" s="1"/>
      <c r="D2" s="1"/>
      <c r="E2" s="1"/>
    </row>
    <row r="3" spans="2:5" x14ac:dyDescent="0.45">
      <c r="B3" s="3" t="s">
        <v>0</v>
      </c>
      <c r="C3" s="3" t="s">
        <v>7</v>
      </c>
      <c r="D3" s="3" t="s">
        <v>8</v>
      </c>
      <c r="E3" s="3" t="s">
        <v>1</v>
      </c>
    </row>
    <row r="4" spans="2:5" x14ac:dyDescent="0.45">
      <c r="B4" s="4" t="s">
        <v>2</v>
      </c>
      <c r="C4" s="5">
        <v>103423.2</v>
      </c>
      <c r="D4" s="6">
        <v>258934</v>
      </c>
      <c r="E4" s="7">
        <f>D4/C4</f>
        <v>2.5036355479234835</v>
      </c>
    </row>
    <row r="5" spans="2:5" x14ac:dyDescent="0.45">
      <c r="B5" s="4" t="s">
        <v>3</v>
      </c>
      <c r="C5" s="5">
        <v>94401</v>
      </c>
      <c r="D5" s="6">
        <v>236003</v>
      </c>
      <c r="E5" s="7">
        <f t="shared" ref="E5:E8" si="0">D5/C5</f>
        <v>2.500005296554062</v>
      </c>
    </row>
    <row r="6" spans="2:5" x14ac:dyDescent="0.45">
      <c r="B6" s="4" t="s">
        <v>4</v>
      </c>
      <c r="C6" s="5">
        <v>116707</v>
      </c>
      <c r="D6" s="6">
        <v>315110</v>
      </c>
      <c r="E6" s="7">
        <f t="shared" si="0"/>
        <v>2.7000094253129632</v>
      </c>
    </row>
    <row r="7" spans="2:5" x14ac:dyDescent="0.45">
      <c r="B7" s="4" t="s">
        <v>5</v>
      </c>
      <c r="C7" s="5">
        <v>120400</v>
      </c>
      <c r="D7" s="6">
        <v>308223</v>
      </c>
      <c r="E7" s="7">
        <f t="shared" si="0"/>
        <v>2.5599916943521595</v>
      </c>
    </row>
    <row r="8" spans="2:5" x14ac:dyDescent="0.45">
      <c r="B8" s="4" t="s">
        <v>6</v>
      </c>
      <c r="C8" s="5">
        <v>121915</v>
      </c>
      <c r="D8" s="6">
        <v>324449</v>
      </c>
      <c r="E8" s="7">
        <f t="shared" si="0"/>
        <v>2.6612721978427594</v>
      </c>
    </row>
    <row r="9" spans="2:5" x14ac:dyDescent="0.45">
      <c r="B9" s="2" t="s">
        <v>13</v>
      </c>
    </row>
    <row r="12" spans="2:5" ht="28.5" customHeight="1" x14ac:dyDescent="0.45">
      <c r="B12" s="1" t="s">
        <v>10</v>
      </c>
      <c r="C12" s="1"/>
      <c r="D12" s="1"/>
      <c r="E12" s="1"/>
    </row>
    <row r="13" spans="2:5" x14ac:dyDescent="0.45">
      <c r="B13" s="3" t="s">
        <v>0</v>
      </c>
      <c r="C13" s="3" t="s">
        <v>7</v>
      </c>
      <c r="D13" s="3" t="s">
        <v>8</v>
      </c>
      <c r="E13" s="3" t="s">
        <v>1</v>
      </c>
    </row>
    <row r="14" spans="2:5" x14ac:dyDescent="0.45">
      <c r="B14" s="4" t="s">
        <v>2</v>
      </c>
      <c r="C14" s="5">
        <v>24791.8</v>
      </c>
      <c r="D14" s="6">
        <v>61797.5</v>
      </c>
      <c r="E14" s="7">
        <f>D14/C14</f>
        <v>2.4926588630111568</v>
      </c>
    </row>
    <row r="15" spans="2:5" x14ac:dyDescent="0.45">
      <c r="B15" s="4" t="s">
        <v>3</v>
      </c>
      <c r="C15" s="5">
        <v>24449.8</v>
      </c>
      <c r="D15" s="6">
        <v>48899.4</v>
      </c>
      <c r="E15" s="7">
        <f t="shared" ref="E15:E18" si="1">D15/C15</f>
        <v>1.9999918199739877</v>
      </c>
    </row>
    <row r="16" spans="2:5" x14ac:dyDescent="0.45">
      <c r="B16" s="4" t="s">
        <v>4</v>
      </c>
      <c r="C16" s="5">
        <v>28872.5</v>
      </c>
      <c r="D16" s="6">
        <v>72181.25</v>
      </c>
      <c r="E16" s="7">
        <f t="shared" si="1"/>
        <v>2.5</v>
      </c>
    </row>
    <row r="17" spans="2:5" x14ac:dyDescent="0.45">
      <c r="B17" s="4" t="s">
        <v>5</v>
      </c>
      <c r="C17" s="5">
        <v>27761.4</v>
      </c>
      <c r="D17" s="6">
        <v>69403.5</v>
      </c>
      <c r="E17" s="7">
        <f t="shared" si="1"/>
        <v>2.5</v>
      </c>
    </row>
    <row r="18" spans="2:5" x14ac:dyDescent="0.45">
      <c r="B18" s="4" t="s">
        <v>6</v>
      </c>
      <c r="C18" s="5">
        <v>29874.6</v>
      </c>
      <c r="D18" s="6">
        <v>59749.2</v>
      </c>
      <c r="E18" s="7">
        <f t="shared" si="1"/>
        <v>2</v>
      </c>
    </row>
    <row r="19" spans="2:5" x14ac:dyDescent="0.45">
      <c r="B19" s="2" t="s">
        <v>12</v>
      </c>
    </row>
    <row r="22" spans="2:5" ht="29.55" customHeight="1" x14ac:dyDescent="0.45">
      <c r="B22" s="1" t="s">
        <v>11</v>
      </c>
      <c r="C22" s="1"/>
      <c r="D22" s="1"/>
      <c r="E22" s="1"/>
    </row>
    <row r="23" spans="2:5" x14ac:dyDescent="0.45">
      <c r="B23" s="3" t="s">
        <v>0</v>
      </c>
      <c r="C23" s="3" t="s">
        <v>7</v>
      </c>
      <c r="D23" s="3" t="s">
        <v>8</v>
      </c>
      <c r="E23" s="3" t="s">
        <v>1</v>
      </c>
    </row>
    <row r="24" spans="2:5" x14ac:dyDescent="0.45">
      <c r="B24" s="4" t="s">
        <v>2</v>
      </c>
      <c r="C24" s="5">
        <f t="shared" ref="C24:D28" si="2">C4+C14</f>
        <v>128215</v>
      </c>
      <c r="D24" s="5">
        <f t="shared" si="2"/>
        <v>320731.5</v>
      </c>
      <c r="E24" s="7">
        <f>D24/C24</f>
        <v>2.5015130834925712</v>
      </c>
    </row>
    <row r="25" spans="2:5" x14ac:dyDescent="0.45">
      <c r="B25" s="4" t="s">
        <v>3</v>
      </c>
      <c r="C25" s="5">
        <f t="shared" si="2"/>
        <v>118850.8</v>
      </c>
      <c r="D25" s="5">
        <f t="shared" si="2"/>
        <v>284902.40000000002</v>
      </c>
      <c r="E25" s="7">
        <f t="shared" ref="E25:E28" si="3">D25/C25</f>
        <v>2.3971433090900525</v>
      </c>
    </row>
    <row r="26" spans="2:5" x14ac:dyDescent="0.45">
      <c r="B26" s="4" t="s">
        <v>4</v>
      </c>
      <c r="C26" s="5">
        <f t="shared" si="2"/>
        <v>145579.5</v>
      </c>
      <c r="D26" s="5">
        <f t="shared" si="2"/>
        <v>387291.25</v>
      </c>
      <c r="E26" s="7">
        <f t="shared" si="3"/>
        <v>2.6603419437489482</v>
      </c>
    </row>
    <row r="27" spans="2:5" x14ac:dyDescent="0.45">
      <c r="B27" s="4" t="s">
        <v>5</v>
      </c>
      <c r="C27" s="5">
        <f t="shared" si="2"/>
        <v>148161.4</v>
      </c>
      <c r="D27" s="5">
        <f t="shared" si="2"/>
        <v>377626.5</v>
      </c>
      <c r="E27" s="7">
        <f t="shared" si="3"/>
        <v>2.548750889232958</v>
      </c>
    </row>
    <row r="28" spans="2:5" x14ac:dyDescent="0.45">
      <c r="B28" s="4" t="s">
        <v>6</v>
      </c>
      <c r="C28" s="5">
        <f t="shared" si="2"/>
        <v>151789.6</v>
      </c>
      <c r="D28" s="5">
        <f t="shared" si="2"/>
        <v>384198.2</v>
      </c>
      <c r="E28" s="7">
        <f t="shared" si="3"/>
        <v>2.5311233444188534</v>
      </c>
    </row>
    <row r="29" spans="2:5" x14ac:dyDescent="0.45">
      <c r="B29" s="2" t="s">
        <v>14</v>
      </c>
    </row>
  </sheetData>
  <mergeCells count="3">
    <mergeCell ref="B2:E2"/>
    <mergeCell ref="B12:E12"/>
    <mergeCell ref="B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KILIMO</dc:creator>
  <cp:lastModifiedBy>Gungu Mibavu</cp:lastModifiedBy>
  <dcterms:created xsi:type="dcterms:W3CDTF">2026-04-10T14:27:14Z</dcterms:created>
  <dcterms:modified xsi:type="dcterms:W3CDTF">2026-04-13T15:28:50Z</dcterms:modified>
</cp:coreProperties>
</file>